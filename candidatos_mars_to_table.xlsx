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ltivos_Fotosinteticos" sheetId="1" state="visible" r:id="rId3"/>
    <sheet name="Proteinas_Alternativas" sheetId="2" state="visible" r:id="rId4"/>
    <sheet name="Notas_y_Fu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<sst xmlns="http://schemas.openxmlformats.org/spreadsheetml/2006/main" count="153" uniqueCount="142">
  <si>
    <t xml:space="preserve">CANDIDATOS DEL MODELO — Cultivos fotosintéticos (base: m² de área de cultivo / día)</t>
  </si>
  <si>
    <t xml:space="preserve">Inputs listos para r_ik, a_i, w_i, c_i del MILP. Celdas azules = dato de fuente (input); celdas negras = fórmula calculada.</t>
  </si>
  <si>
    <t xml:space="preserve">i</t>
  </si>
  <si>
    <t xml:space="preserve">Candidato</t>
  </si>
  <si>
    <t xml:space="preserve">Categoria</t>
  </si>
  <si>
    <t xml:space="preserve">Biomasa_total_gDM_m2_d</t>
  </si>
  <si>
    <t xml:space="preserve">Biomasa_comestible_gDM_m2_d</t>
  </si>
  <si>
    <t xml:space="preserve">Indice_cosecha_HI</t>
  </si>
  <si>
    <t xml:space="preserve">Agua_L_m2_d</t>
  </si>
  <si>
    <t xml:space="preserve">Ciclo_dias</t>
  </si>
  <si>
    <t xml:space="preserve">Proteina_pct_DM</t>
  </si>
  <si>
    <t xml:space="preserve">Calorias_kcal_100gDM</t>
  </si>
  <si>
    <t xml:space="preserve">r_proteina_g_m2_d</t>
  </si>
  <si>
    <t xml:space="preserve">r_calorico_kcal_m2_d</t>
  </si>
  <si>
    <t xml:space="preserve">a_i_m2_por_kg_comestible_dia</t>
  </si>
  <si>
    <t xml:space="preserve">Agua_L_por_kg_comestible</t>
  </si>
  <si>
    <t xml:space="preserve">Notas</t>
  </si>
  <si>
    <t xml:space="preserve">Fuente</t>
  </si>
  <si>
    <t xml:space="preserve">Trigo (Triticum aestivum)</t>
  </si>
  <si>
    <t xml:space="preserve">Cereal</t>
  </si>
  <si>
    <t xml:space="preserve">NASA CELSS Biomass Production Chamber (BPC), hidropónico NFT, cv. Yecora Rojo. HI ~0.32.</t>
  </si>
  <si>
    <t xml:space="preserve">Wheeler et al. 2008, Adv. Space Res. 41:706-713; NASA/TM-2020-5008832</t>
  </si>
  <si>
    <t xml:space="preserve">Soya (Glycine max)</t>
  </si>
  <si>
    <t xml:space="preserve">Leguminosa (proteína+aceite)</t>
  </si>
  <si>
    <t xml:space="preserve">NASA CELSS BPC, hidropónico NFT, cv. McCall/Hoyt. Mayor contenido de proteína y grasa de todos los cultivos probados.</t>
  </si>
  <si>
    <t xml:space="preserve">Wheeler et al. 2008; NASA/TM-2020-5008832</t>
  </si>
  <si>
    <t xml:space="preserve">Papa (Solanum tuberosum)</t>
  </si>
  <si>
    <t xml:space="preserve">Tubérculo</t>
  </si>
  <si>
    <t xml:space="preserve">NASA CELSS BPC, hidropónico NFT, cv. Norland. Mejor RUE (0.64 g/mol) y mayor HI (0.7-0.8) de los cultivos probados.</t>
  </si>
  <si>
    <t xml:space="preserve">Wheeler 2006, Potato Research 49:67-90; Wheeler et al. 2008</t>
  </si>
  <si>
    <t xml:space="preserve">Camote (Ipomoea batatas)</t>
  </si>
  <si>
    <t xml:space="preserve">Biomasa comestible en base FRESCA (no seca): 39-66 g/m2/d, HI 60-89%. Alto en vitamina A. Candidato histórico NASA/Tuskegee.</t>
  </si>
  <si>
    <t xml:space="preserve">Loretan &amp; Bonsi, NTRS 19900040477; NASA Task Book Tuskegee ALS</t>
  </si>
  <si>
    <t xml:space="preserve">Lechuga (Lactuca sativa)</t>
  </si>
  <si>
    <t xml:space="preserve">Verdura de hoja</t>
  </si>
  <si>
    <t xml:space="preserve">Biomasa comestible en base FRESCA para nutrientes (fila de proteina/calorias); biomasa DM en columnas D-E. Ciclo muy corto, ideal 'pick and eat'.</t>
  </si>
  <si>
    <t xml:space="preserve">Tomate (Solanum lycopersicum)</t>
  </si>
  <si>
    <t xml:space="preserve">Fruto</t>
  </si>
  <si>
    <t xml:space="preserve">Biomasa comestible (fruto) en base FRESCA para nutrientes; DM en col. D-E. Cosecha periódica desde día 65.</t>
  </si>
  <si>
    <t xml:space="preserve">Espirulina (Arthrospira platensis)</t>
  </si>
  <si>
    <t xml:space="preserve">Microalga (proteína alta)</t>
  </si>
  <si>
    <t xml:space="preserve">Fotobiorreactor/raceway. Productividad 6-22.9 g/m2/d según sistema (raceway 6-16.3; PBR flotante &gt;18.9). Cosecha continua (ciclo=1 día efectivo). Agua estimada con reposición por evaporación en sistema abierto.</t>
  </si>
  <si>
    <t xml:space="preserve">Rebolloso-Fuentes et al./MDPI 2021; ScienceDirect 2023 (Fu et al. seawater study); NASA ICES Space Algae-2</t>
  </si>
  <si>
    <t xml:space="preserve">Lenteja de agua / Duckweed (Lemna minor)</t>
  </si>
  <si>
    <t xml:space="preserve">Macrófita acuática (proteína)</t>
  </si>
  <si>
    <t xml:space="preserve">Crecimiento muy rápido (duplica biomasa en 2-4 días en condiciones óptimas). Puede cultivarse con agua reciclada/gris del hábitat, reduciendo w_i neto. Sin literatura NASA extensa aún — candidato emergente.</t>
  </si>
  <si>
    <t xml:space="preserve">Chumroenphat/ResearchGate 2024 (Nepjol); PMC6196230; PMC7221200 (Lemna gibba, space life support)</t>
  </si>
  <si>
    <t xml:space="preserve">Arroz (Oryza sativa)</t>
  </si>
  <si>
    <t xml:space="preserve">GAP CUBIERTO (parcial): candidato historico BIOS-3/CEEF/Lunar Palace, pero sin tabla NASA-BPC cuantificada. Dato de agricultura hidroponica general (bandejas de ladrillo/perlita): 13.6 t/ha grano = 1360 g/m2 en ~120 dias -&gt; 11.3 g/m2/d grano (columna E). Biomasa total (D) estimada asumiendo HI~0.5 tipico de arroz. Agua NO medida en la fuente -&gt; valor de columna G es un supuesto (rango tipico de cereal hidroponico), NO dato duro. Requiere validacion adicional antes de calibrar el modelo.</t>
  </si>
  <si>
    <t xml:space="preserve">Biosciences Biotech Research Asia 2026 (rendimiento hidroponico); Fu et al. 2016 Astrobiology 16(12) (BLSS/Lunar Palace, lista de cultivos); NTRS excess-nutrients rice/wheat/potato study</t>
  </si>
  <si>
    <t xml:space="preserve">Mani / Peanut (Arachis hypogaea)</t>
  </si>
  <si>
    <t xml:space="preserve">Leguminosa (proteina+aceite)</t>
  </si>
  <si>
    <t xml:space="preserve">GAP CUBIERTO: candidato NASA/Tuskegee (CFESH program). Rendimiento semilla 207-350 g/m2 POR CICLO (no por dia) en NFT; columna E = 350/135 dias. Biomasa total (D) es estimacion (HI bajo tipico de mani ~17-20%). Agua NO cuantificada en la fuente -&gt; columna G es supuesto, marcar para validar.</t>
  </si>
  <si>
    <t xml:space="preserve">Hill et al. 1992, Adv. Space Res./ScienceDirect S027311779290018S; SAE 2002-01-2488 Tuskegee CFESH; ResearchGate 11804249 (350 g/m2 NFT)</t>
  </si>
  <si>
    <t xml:space="preserve">Quinua (Chenopodium quinoa)</t>
  </si>
  <si>
    <t xml:space="preserve">Pseudocereal (proteina alta)</t>
  </si>
  <si>
    <t xml:space="preserve">GAP CUBIERTO: estudio NASA CELSS especifico localizado (Purdue, Schrader/Mitchell program). Rendimiento semilla hidroponico = 202 g/m2, HI=37% -&gt; biomasa total D=202/0.37=546 g/m2 en un ciclo. Ciclo de ~100 dias es un supuesto (fuente no especifica duracion exacta del experimento) -&gt; validar. Proteina en semilla bajo ambiente controlado (20.9%) fue MAYOR que en campo (16.5%). Si se incluyen hojas comestibles, HI puede superar 80%.</t>
  </si>
  <si>
    <t xml:space="preserve">NASA/Purdue 'Quinoa: Candidate Crop for NASA CELSS' hort.purdue.edu V3-632 1996; NTRS 19940015664 'Quinoa: An emerging new crop with potential for CELSS'</t>
  </si>
  <si>
    <t xml:space="preserve">Chlorella (Chlorella vulgaris)</t>
  </si>
  <si>
    <t xml:space="preserve">GAP CUBIERTO (estimado por analogia): NHPBR (net-house photobioreactor) reporta 1 m2 -&gt; 1.0 kg biomasa seca por LOTE (ciclo no siempre especificado en dias en la fuente -&gt; se asume ciclo=7 dias, tipico de PBR abierto, análogo a espirulina). Productividad d.1 columna D es ESTIMACION en el rango medio de sistemas PBR/panel reportados en literatura (4-22 g/m2/d segun diseño), no un dato unico verificado -&gt; validar con ensayo propio antes de calibrar el modelo. Proteina 51% DM es dato duro (NHPBR).</t>
  </si>
  <si>
    <t xml:space="preserve">Tandfonline 2023 NHPBR sugarcane press mud (1 kg/m2, 51% proteina); Springer Biotechnol Biofuels 2014 Green Wall Panel (productividad PBR)</t>
  </si>
  <si>
    <t xml:space="preserve">Moringa (Moringa oleifera)</t>
  </si>
  <si>
    <t xml:space="preserve">Arbusto de hoja (proteína+micronutrientes, tolerante a sequia)</t>
  </si>
  <si>
    <t xml:space="preserve">AGREGADO tras pregunta explicita sobre candidatos de zonas aridas/desierticas (incl. Africa). Especie nativa del subcontinente indio pero ampliamente naturalizada y cultivada en zonas aridas y semiaridas de Africa subsahariana, muy tolerante a la sequia -- ya propuesta en literatura como candidato CELSS/aeroponico por su bajo requerimiento de agua y rebrote rapido tras poda. Biomasa foliar total 4.2-8.3 t/ha DM cada 40 dias (punto medio 6.25 t/ha/40d = 15.6 g/m2/d); columna E asume ~60% de esa biomasa es hoja comestible (el resto es tallo leñoso). Proteina en hoja seca reportada 15-39% DM segun fuente/variedad/edad de corte -- se uso 22% como punto medio conservador. Ciclo=40 dias es el intervalo de corte, pero a diferencia de un cultivo anual, REBROTA de forma continua tras el primer corte (igual que duckweed/lechuga de corte multiple) -- ver Notas_y_Fuentes para el supuesto de cosecha continua. Agua NO cuantificada en L/m2/d en la literatura revisada (solo se documenta 'tolerancia a sequia' de forma cualitativa) -&gt; columna G es un supuesto conservador, validar.</t>
  </si>
  <si>
    <t xml:space="preserve">PMC7054280 (revision proteina animal); ResearchGate 396190178 'Exploring Moringa for Astronauts in Space' (candidato CELSS/aeroponico explicito); Frontiers Anim Sci 2026 1485887 (4.2-8.3 t/ha/40d, Sanchez &amp; Inger 2006); ScienceDirect S0889157523001084 (proteina hoja ~20%+); Nature Sci Rep 2025 (M. stenopetala arido Etiopia)</t>
  </si>
  <si>
    <t xml:space="preserve">CANDIDATOS DEL MODELO — Proteínas alternativas (base: kg de producto, sistemas no fotosintéticos)</t>
  </si>
  <si>
    <t xml:space="preserve">Grillos/tenebrio (cría vertical) y micoproteína (fermentación) no usan área de dosel como los cultivos; se normalizan por kg de producto.</t>
  </si>
  <si>
    <t xml:space="preserve">Sistema de produccion</t>
  </si>
  <si>
    <t xml:space="preserve">Proteina_pct_producto</t>
  </si>
  <si>
    <t xml:space="preserve">Agua_L_por_kg_producto</t>
  </si>
  <si>
    <t xml:space="preserve">Huella_CO2_kgCO2e_por_kg</t>
  </si>
  <si>
    <t xml:space="preserve">Energia_MJ_por_kg</t>
  </si>
  <si>
    <t xml:space="preserve">Conversion_alimenticia_kg_sustrato_por_kg_producto</t>
  </si>
  <si>
    <t xml:space="preserve">r_proteina_g_por_kg_producto</t>
  </si>
  <si>
    <t xml:space="preserve">Grillo (Acheta domesticus)</t>
  </si>
  <si>
    <t xml:space="preserve">Cría vertical en bandejas</t>
  </si>
  <si>
    <t xml:space="preserve">Conversión alimenticia ~2x mejor que pollo, ~4x que cerdo, ~12x que res. Huella hídrica de proteína: ~2000 L/kg vs 22000 L/kg de res (-90%). Energia no cuantificada de forma solida en la literatura revisada -&gt; celda vacia intencional, no un cero.</t>
  </si>
  <si>
    <t xml:space="preserve">rollingout.com 2025 (síntesis LCA); Springer Agron. Sustain. Dev. 2016 (Miglietta et al.)</t>
  </si>
  <si>
    <t xml:space="preserve">Tenebrio / gusano de la harina (Tenebrio molitor)</t>
  </si>
  <si>
    <t xml:space="preserve">Huella hídrica 0.42-1.26 m3/kg producto fresco (0.71-1.26 m3/kg base materia seca/proteína). Menor huella que cerdo y res; similar/mayor que pollo. Energia no cuantificada -&gt; celda vacia intencional.</t>
  </si>
  <si>
    <t xml:space="preserve">Oxford Academic Animal Frontiers 2023; PMC6915342</t>
  </si>
  <si>
    <t xml:space="preserve">Micoproteina / Fusarium venenatum (tipo Quorn)</t>
  </si>
  <si>
    <t xml:space="preserve">Fermentacion en biorreactor (proceso continuo)</t>
  </si>
  <si>
    <t xml:space="preserve">Fermentación continua (ciclo de horas-días, no estacional). &lt;2 kg de sustrato (glucosa/trigo) por kg de micoproteína. Huella de tierra 5.5x menor que res, 3.6x menor que pollo; huella hídrica ~13.5x menor que res. Energia de fermentador no desagregada en fuente publica -&gt; celda vacia intencional.</t>
  </si>
  <si>
    <t xml:space="preserve">Microbiology Society 2018; Quorn Footprint Comparison Report, Carbon Trust 2022/2023</t>
  </si>
  <si>
    <t xml:space="preserve">Hongo ostra / Oyster mushroom (Pleurotus ostreatus)</t>
  </si>
  <si>
    <t xml:space="preserve">Cultivo en sustrato (bandejas verticales/bolsas)</t>
  </si>
  <si>
    <t xml:space="preserve">GAP CUBIERTO parcialmente: crece sobre biomasa INEDIBLE reciclada (paja, residuos de cosecha, sustratos lignocelulosicos del propio habitat) -- sinergia directa con el excedente de biomasa no comestible de trigo/soya/arroz del modelo (conversion alimenticia = 0 en terminos de sustrato 'nuevo', reutiliza residuos). Productividad vertical 10-18 kg/m2/mes fresco (punto medio ~14 kg/m2/mes = 467 g/m2/d fresco -- convertir a base 'por m2' si se integra a Hoja 1 en vez de esta hoja). Proteina en base FRESCA (~3g/100g fresco tipico; columna D usa 3.0 como aproximacion). Agua, CO2 y energia NO cuantificadas de forma solida en la literatura revisada -&gt; celdas vacias intencionales, validar antes de calibrar. Ciclo=18 dias es promedio de multiples flushes (14-21 dias tipico).</t>
  </si>
  <si>
    <t xml:space="preserve">GroCycle sustainability study (10-18 kg/m2/mes vertical); MDPI Sustainability 2026 18(1):384 (vertical farming Pleurotus LCA); ScienceDirect oyster mushroom review 2024</t>
  </si>
  <si>
    <t xml:space="preserve">Carne cultivada / Cultivated meat (celulas animales in vitro)</t>
  </si>
  <si>
    <t xml:space="preserve">Biorreactor de fermentacion celular (escala 2030, prospectivo)</t>
  </si>
  <si>
    <t xml:space="preserve">GAP CUBIERTO: tecnologia EMERGENTE, aun sin planta comercial a gran escala; cifras provienen de un LCA prospectivo (ex-ante, escenario 2030), no de produccion real medida a esa escala -&gt; usar con cautela y validar contra datos mas recientes antes de calibrar el modelo formalmente. 1000 kg de carne cultivada requieren 26-33 GJ de energia (=26-33 MJ/kg, punto medio 29.5 en columna Energia_MJ_por_kg) y 367-521 m3 de agua (=367-521 L/kg, punto medio 444 en columna Agua). Huella CO2 no incluida aqui (ver fuente para 1900-2240 kg CO2eq/1000kg = 1.9-2.24 kgCO2e/kg). Ciclo de biorreactor ~2-4 semanas (se asume 21 dias). Requiere fuente de nutrientes/energia externa (ej. hidrolizado de cianobacterias) que compite por recursos con otros candidatos del modelo.</t>
  </si>
  <si>
    <t xml:space="preserve">ACS Environ. Sci. Technol. 2011 (26-33 GJ, 367-521 m3 agua, 1900-2240 kgCO2eq /1000kg); Springer IJLCA 2023 Sinke et al. (ex-ante LCA carne cultivada 2030)</t>
  </si>
  <si>
    <t xml:space="preserve">Notas metodológicas</t>
  </si>
  <si>
    <t xml:space="preserve">1) UNIDADES: Hoja 1 usa base 'por m2 de area de cultivo por dia' — compatible directa con a_i, w_i, r_ik del modelo MILP (ver seccion 4 de la propuesta tecnica). Hoja 2 usa base 'por kg de producto', porque grillos/tenebrio (cria en bandejas verticales) y microproteina (fermentador) no operan sobre area de dosel fotosintetico — para integrarlos al mismo modelo, conviertan area_equivalente = huella_reportada o definan una restriccion de capacidad de biorreactor/bandeja en lugar de A_max.</t>
  </si>
  <si>
    <t xml:space="preserve">2) BASE SECA vs FRESCA: Los datos de biomasa de la Camara de Produccion de Biomasa de la NASA (BPC) estan en materia seca (DM). Para lechuga, tomate y camote, el contenido nutricional (proteina, calorias) esta reportado en base FRESCA porque asi se consumen — al usarlos junto con columnas D-E (que si estan en DM), documenten el % de materia seca del cultivo antes de mezclar unidades en el solver.</t>
  </si>
  <si>
    <t xml:space="preserve">3) CICLO DE ESPIRULINA Y MICROPROTEINA: Se modelan con ciclo=1-2 dias porque la cosecha es continua/semi-continua, no estacional como los cultivos de tierra. Esto los hace muy atractivos para suavizar la variabilidad del suministro (d_kt) entre cosechas de cultivos de ciclo largo.</t>
  </si>
  <si>
    <t xml:space="preserve">4) HUECOS DE DATOS CUBIERTOS EN ESTA VERSION (candidatos 9-13, agregados en la ronda de investigacion expandida): arroz, mani/peanut y quinua ya tienen fuente CELSS/hidroponica cuantificada -- pero sus columnas de AGUA (G) son SUPUESTOS (no midieron agua en la fuente), marcados explicitamente en la columna de Notas de cada fila; usar con precaucion y reemplazar en cuanto se consiga el dato real. Chlorella se agrego con productividad ESTIMADA por analogia con espirulina/PBR (no hay una sola fuente que reporte g/m2/dia de forma directa); hongo ostra (Pleurotus) y carne cultivada tienen celdas vacias EN BLANCO (no cero) donde el dato no existe en la literatura revisada -- una celda vacia significa 'sin dato', nunca debe interpretarse como cero en el solver.</t>
  </si>
  <si>
    <t xml:space="preserve">4b) HUECOS DE DATOS AUN PENDIENTES: energia electrica desagregada por especie (grillo, tenebrio, micoproteina, hongo ostra); agua de cultivo para arroz/mani/quinua medida en camara cerrada tipo BPC; datos de camote/tomate/lechuga en base a MATERIA SECA real (no solo fresca) para friccionar unidades limpiamente con columnas D-E; verificacion independiente de los supuestos de ciclo para quinua (100 dias) y chlorella (7 dias).</t>
  </si>
  <si>
    <t xml:space="preserve">5) ENERGIA (e_i): No incluida como columna separada porque, a diferencia del agua, el consumo energetico en los estudios NASA BPC esta reportado a nivel de camara completa (iluminacion LED/HPS, HVAC, bombeo) y no desagregado por cultivo de forma comparable. Para el prototipo MILP inicial, se sugiere usar un valor generico de energia de iluminacion por unidad de PAR requerido (mol m-2 d-1), disponible en las fuentes citadas, y refinar por especie en la Fase 2 del proyecto.</t>
  </si>
  <si>
    <t xml:space="preserve">6) LIMITE DE REABASTECIMIENTO: La regla oficial del reto permite hasta 50% del contenido calorico proveniente de la Tierra (delta_kt &lt;= 0.5 d_kt). Los candidatos de esta lista estan pensados para cubrir el 50% producido in-situ requerido, priorizando alta densidad proteica (soya, espirulina, grillo, microproteina) y alta densidad calorica (papa, camote, trigo).</t>
  </si>
  <si>
    <t xml:space="preserve">7) CANDIDATOS DE ZONAS ARIDAS/DESERTICAS EVALUADOS Y DESCARTADOS: se investigaron especificamente baobab (Adansonia digitata, arbol nativo de zonas aridas de Africa subsahariana) y palma datilera (Phoenix dactylifera, cultivo insignia de zonas aridas de Medio Oriente/Norte de Africa) tras pregunta explicita sobre frutas exoticas de zonas desertas africanas. AMBOS SE DESCARTARON del modelo por incompatibilidad estructural, no por falta de datos nutricionales: son arboles perennes de gran tamano con 4-10+ anos hasta la primera cosecha significativa (palma datilera) o varias decadas hasta madurez productiva (baobab) -- incompatibles con un sistema de cultivo compacto/hidroponico de una mision con horizonte de meses. Su ventaja real (extrema eficiencia hidrica en campo abierto) no es transferible a un habitat cerrado sin las mismas raices profundas y decadas de crecimiento. Moringa oleifera SI se agrego (candidato 13) porque, a diferencia de baobab/palma, es un arbusto de crecimiento rapido que se cosecha por poda de hojas (no por fruto), tolera sequia, y ya ha sido propuesto explicitamente en la literatura como candidato CELSS/aeroponico.</t>
  </si>
  <si>
    <t xml:space="preserve">Fuentes completas (URLs)</t>
  </si>
  <si>
    <t xml:space="preserve">NASA/TM-2020-5008832 'NASA's Contributions to Vertical Farming' — https://ntrs.nasa.gov/api/citations/20205008832/downloads/NASA%20TM-2020-5008832%20NASA's%20Contributions%20to%20Vertical%20Farming.pdf</t>
  </si>
  <si>
    <t xml:space="preserve">Wheeler et al. 2008 'Crop productivities and radiation use efficiencies for bioregenerative life support' — http://bigidea.nianet.org/wp-content/uploads/2018/07/Adv-Space-Res-2008-Crop-Prod-and-Rad-Use-Eff.pdf</t>
  </si>
  <si>
    <t xml:space="preserve">Wheeler 2006 'Potato and Human Exploration of Space' Potato Research 49:67-90 — http://bigidea.nianet.org/wp-content/uploads/2018/07/Potato-Research-2006-Wheeler.pdf</t>
  </si>
  <si>
    <t xml:space="preserve">Loretan &amp; Bonsi, Sweet potato growth parameters for CELSS — NTRS 19900040477</t>
  </si>
  <si>
    <t xml:space="preserve">NASA Task Book, Tuskegee ALS sweet potato/peanut program — https://taskbook.nasaprs.com/tbp/SBArchives/2003%20turquoise%20banner/Tuskegee%20ALS-sweet%20potato%20Tuskegee.pdf</t>
  </si>
  <si>
    <t xml:space="preserve">Rebolloso-Fuentes et al. 2021, spirulina cultivation Gran Canaria — https://www.mdpi.com/2227-9717/9/8/1333</t>
  </si>
  <si>
    <t xml:space="preserve">Techno-economic analysis floating PBR spirulina — https://www.sciencedirect.com/science/article/abs/pii/S0959652625013502</t>
  </si>
  <si>
    <t xml:space="preserve">NASA Space Algae-2 ISS spirulina study — https://ntrs.nasa.gov/api/citations/20240005724/downloads/ICES_184-SpaceAlgae2_20240506_Revision.pdf</t>
  </si>
  <si>
    <t xml:space="preserve">Effect of seawater on Spirulina biomass composition (pilot scale) — https://www.sciencedirect.com/science/article/pii/S1871678423000651</t>
  </si>
  <si>
    <t xml:space="preserve">Duckweed Lemna minor D0158 protein source — https://www.researchgate.net/publication/381177672</t>
  </si>
  <si>
    <t xml:space="preserve">Growth and carotenoids in Lemna gibba for space life support — https://www.ncbi.nlm.nih.gov/pmc/articles/PMC7221200/</t>
  </si>
  <si>
    <t xml:space="preserve">Mass production of Lemna minor amino/fatty acid profiles — https://pmc.ncbi.nlm.nih.gov/articles/PMC6196230/</t>
  </si>
  <si>
    <t xml:space="preserve">Insect protein sustainability synthesis — https://rollingout.com/2025/05/20/insect-protein-future/</t>
  </si>
  <si>
    <t xml:space="preserve">LCA of edible insects for food protein (review) — https://link.springer.com/article/10.1007/s13593-016-0392-8</t>
  </si>
  <si>
    <t xml:space="preserve">Environmental impact of insect production chains Europe — https://academic.oup.com/af/article/13/4/112/7242422</t>
  </si>
  <si>
    <t xml:space="preserve">Mycoprotein production and food sustainability, Microbiology Society — https://microbiologysociety.org/resource_library/knowledge-search/mycoprotein-production-and-food-sustainability.html</t>
  </si>
  <si>
    <t xml:space="preserve">Quorn Footprint Comparison Report, Carbon Trust 2022 — https://www.quorn.co.uk/assets/files/content/Carbon-Trust-Comparison-Report-2022.pdf</t>
  </si>
  <si>
    <t xml:space="preserve">NASA Deep Space Food Challenge: Mars to Table (official rules) — https://www.deepspacefood.org/marstotable</t>
  </si>
  <si>
    <t xml:space="preserve">Growing rice in controlled environments (review), Biosciences Biotech Research Asia 2026 — https://www.biotech-asia.org/vol20no1/a-review-growing-rice-in-the-controlled-environments/</t>
  </si>
  <si>
    <t xml:space="preserve">Fu et al. 2016, How to Establish a BLSS for Long-Term Crewed Missions (lista 14-15 cultivos incl. arroz) — https://journals.sagepub.com/doi/full/10.1089/ast.2016.1477</t>
  </si>
  <si>
    <t xml:space="preserve">Excess nutrients alter nutrient content of rice, wheat, potato (CELSS) — https://www.sciencedirect.com/science/article/abs/pii/027311779500863A</t>
  </si>
  <si>
    <t xml:space="preserve">Hill et al. 1992, Growing root/tuber/nut crops hydroponically for CELSS (mani, papa, camote, remolacha) — https://www.sciencedirect.com/science/article/abs/pii/027311779290018S</t>
  </si>
  <si>
    <t xml:space="preserve">SAE 2002-01-2488, Daily light period influences pod yield of peanut in NFT (Tuskegee CFESH) — https://saemobilus.sae.org/papers/daily-light-period-influences-pod-yield-harvest-index-flowering-peanut-grown-nutrient-film-technique-2002-01-2488</t>
  </si>
  <si>
    <t xml:space="preserve">A Recirculating Hydroponic System for Studying Peanut (350 g/m2 NFT) — https://www.researchgate.net/publication/11804249</t>
  </si>
  <si>
    <t xml:space="preserve">Quinoa: Candidate Crop for NASA CELSS, Purdue New Crops Proceedings 1996 — https://hort.purdue.edu/newcrop/proceedings1996/V3-632.html</t>
  </si>
  <si>
    <t xml:space="preserve">Quinoa: An emerging new crop with potential for CELSS, NTRS 19940015664 — https://ntrs.nasa.gov/archive/nasa/casi.ntrs.nasa.gov/19940015664.pdf</t>
  </si>
  <si>
    <t xml:space="preserve">Biomass production and biochemical composition of Chlorella vulgaris in NHPBR (1 kg/m2, 51% proteina) — https://www.tandfonline.com/doi/full/10.1080/16583655.2023.2194843</t>
  </si>
  <si>
    <t xml:space="preserve">Chlorella for protein and biofuels, Green Wall Panel PBR — https://link.springer.com/article/10.1186/1754-6834-7-84</t>
  </si>
  <si>
    <t xml:space="preserve">GroCycle, Is Mushroom Growing Sustainable? (10-18 kg/m2/mes vertical) — https://grocycle.com/is-mushroom-growing-sustainable/</t>
  </si>
  <si>
    <t xml:space="preserve">Vertical Farming: A Sustainable Approach for Pleurotus spp. Cultivation, MDPI Sustainability 2026 — https://www.mdpi.com/2071-1050/18/1/384</t>
  </si>
  <si>
    <t xml:space="preserve">Environmental Impacts of Cultured Meat Production, Environ. Sci. Technol. 2011 (26-33 GJ, 367-521 m3/1000kg) — https://pubs.acs.org/doi/10.1021/es200130u</t>
  </si>
  <si>
    <t xml:space="preserve">Ex-ante LCA of commercial-scale cultivated meat 2030, Sinke et al., Int J LCA 2023 — https://link.springer.com/article/10.1007/s11367-022-02128-8</t>
  </si>
  <si>
    <t xml:space="preserve">Exploring Moringa as a Vital Nutritional Resource for Astronauts in Space, ResearchGate 2025 — https://www.researchgate.net/publication/396190178</t>
  </si>
  <si>
    <t xml:space="preserve">Moringa biomass yield 4.2-8.3 t/ha/40dias (Sanchez &amp; Inger 2006, via Frontiers Anim Sci 2026) — https://www.frontiersin.org/journals/animal-science/articles/10.3389/fanim.2024.1485887/full</t>
  </si>
  <si>
    <t xml:space="preserve">Moringa oleifera leaf protein extraction review (proteina 20%+ DM) — https://www.sciencedirect.com/science/article/abs/pii/S0889157523001084</t>
  </si>
  <si>
    <t xml:space="preserve">Moringa stenopetala en zonas aridas de Etiopia, Nature Sci Rep 2025 — https://www.nature.com/articles/s41598-025-33216-y</t>
  </si>
  <si>
    <t xml:space="preserve">Baobab (Adansonia digitata) composicion nutricional, ScienceDirect 2023 — https://www.sciencedirect.com/science/article/pii/S2772502223000380</t>
  </si>
  <si>
    <t xml:space="preserve">Baobab rendimiento anual por arbol (80kg fruta/ano), Annex Publishers J Nutr Health — https://www.annexpublishers.com/articles/JNH/5101-Metaphysical-Analysis-of-the-Nutritional-and-Therapeutic-Value-of-Baobab-Adansonia-Digitata-L.pdf</t>
  </si>
  <si>
    <t xml:space="preserve">Genoma de la palma datilera, cultivo insignia de zonas aridas MENA, PMC — https://www.ncbi.nlm.nih.gov/pmc/articles/PMC4667612/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</si>
</sst>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40"/>
    <col collapsed="false" customWidth="true" hidden="false" outlineLevel="0" max="16" min="16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60" hidden="false" customHeight="true" outlineLevel="0" collapsed="false">
      <c r="A5" s="4" t="n">
        <v>1</v>
      </c>
      <c r="B5" s="4" t="s">
        <v>18</v>
      </c>
      <c r="C5" s="4" t="s">
        <v>19</v>
      </c>
      <c r="D5" s="4" t="n">
        <v>35.3</v>
      </c>
      <c r="E5" s="4" t="n">
        <v>11.3</v>
      </c>
      <c r="F5" s="5" t="n">
        <f aca="false">E5/D5</f>
        <v>0.320113314447592</v>
      </c>
      <c r="G5" s="4" t="n">
        <v>4.7</v>
      </c>
      <c r="H5" s="4" t="n">
        <v>80</v>
      </c>
      <c r="I5" s="4" t="n">
        <v>13</v>
      </c>
      <c r="J5" s="4" t="n">
        <v>339</v>
      </c>
      <c r="K5" s="5" t="n">
        <f aca="false">E5*I5/100</f>
        <v>1.469</v>
      </c>
      <c r="L5" s="5" t="n">
        <f aca="false">E5*J5/100</f>
        <v>38.307</v>
      </c>
      <c r="M5" s="5" t="n">
        <f aca="false">1000/E5</f>
        <v>88.4955752212389</v>
      </c>
      <c r="N5" s="5" t="n">
        <f aca="false">G5/(E5/1000)</f>
        <v>415.929203539823</v>
      </c>
      <c r="O5" s="6" t="s">
        <v>20</v>
      </c>
      <c r="P5" s="6" t="s">
        <v>21</v>
      </c>
    </row>
    <row r="6" customFormat="false" ht="60" hidden="false" customHeight="true" outlineLevel="0" collapsed="false">
      <c r="A6" s="4" t="n">
        <v>2</v>
      </c>
      <c r="B6" s="4" t="s">
        <v>22</v>
      </c>
      <c r="C6" s="4" t="s">
        <v>23</v>
      </c>
      <c r="D6" s="4" t="n">
        <v>15.7</v>
      </c>
      <c r="E6" s="4" t="n">
        <v>6</v>
      </c>
      <c r="F6" s="5" t="n">
        <f aca="false">E6/D6</f>
        <v>0.382165605095541</v>
      </c>
      <c r="G6" s="4" t="n">
        <v>4.7</v>
      </c>
      <c r="H6" s="4" t="n">
        <v>93</v>
      </c>
      <c r="I6" s="4" t="n">
        <v>36</v>
      </c>
      <c r="J6" s="4" t="n">
        <v>446</v>
      </c>
      <c r="K6" s="5" t="n">
        <f aca="false">E6*I6/100</f>
        <v>2.16</v>
      </c>
      <c r="L6" s="5" t="n">
        <f aca="false">E6*J6/100</f>
        <v>26.76</v>
      </c>
      <c r="M6" s="5" t="n">
        <f aca="false">1000/E6</f>
        <v>166.666666666667</v>
      </c>
      <c r="N6" s="5" t="n">
        <f aca="false">G6/(E6/1000)</f>
        <v>783.333333333333</v>
      </c>
      <c r="O6" s="6" t="s">
        <v>24</v>
      </c>
      <c r="P6" s="6" t="s">
        <v>25</v>
      </c>
    </row>
    <row r="7" customFormat="false" ht="60" hidden="false" customHeight="true" outlineLevel="0" collapsed="false">
      <c r="A7" s="4" t="n">
        <v>3</v>
      </c>
      <c r="B7" s="4" t="s">
        <v>26</v>
      </c>
      <c r="C7" s="4" t="s">
        <v>27</v>
      </c>
      <c r="D7" s="4" t="n">
        <v>27.2</v>
      </c>
      <c r="E7" s="4" t="n">
        <v>18.4</v>
      </c>
      <c r="F7" s="5" t="n">
        <f aca="false">E7/D7</f>
        <v>0.676470588235294</v>
      </c>
      <c r="G7" s="4" t="n">
        <v>4</v>
      </c>
      <c r="H7" s="4" t="n">
        <v>98</v>
      </c>
      <c r="I7" s="4" t="n">
        <v>8.5</v>
      </c>
      <c r="J7" s="4" t="n">
        <v>350</v>
      </c>
      <c r="K7" s="5" t="n">
        <f aca="false">E7*I7/100</f>
        <v>1.564</v>
      </c>
      <c r="L7" s="5" t="n">
        <f aca="false">E7*J7/100</f>
        <v>64.4</v>
      </c>
      <c r="M7" s="5" t="n">
        <f aca="false">1000/E7</f>
        <v>54.3478260869565</v>
      </c>
      <c r="N7" s="5" t="n">
        <f aca="false">G7/(E7/1000)</f>
        <v>217.391304347826</v>
      </c>
      <c r="O7" s="6" t="s">
        <v>28</v>
      </c>
      <c r="P7" s="6" t="s">
        <v>29</v>
      </c>
    </row>
    <row r="8" customFormat="false" ht="60" hidden="false" customHeight="true" outlineLevel="0" collapsed="false">
      <c r="A8" s="4" t="n">
        <v>4</v>
      </c>
      <c r="B8" s="4" t="s">
        <v>30</v>
      </c>
      <c r="C8" s="4" t="s">
        <v>27</v>
      </c>
      <c r="D8" s="4" t="n">
        <v>55</v>
      </c>
      <c r="E8" s="4" t="n">
        <v>45</v>
      </c>
      <c r="F8" s="5" t="n">
        <f aca="false">E8/D8</f>
        <v>0.818181818181818</v>
      </c>
      <c r="G8" s="4" t="n">
        <v>4.5</v>
      </c>
      <c r="H8" s="4" t="n">
        <v>117</v>
      </c>
      <c r="I8" s="4" t="n">
        <v>1.6</v>
      </c>
      <c r="J8" s="4" t="n">
        <v>86</v>
      </c>
      <c r="K8" s="5" t="n">
        <f aca="false">E8*I8/100</f>
        <v>0.72</v>
      </c>
      <c r="L8" s="5" t="n">
        <f aca="false">E8*J8/100</f>
        <v>38.7</v>
      </c>
      <c r="M8" s="5" t="n">
        <f aca="false">1000/E8</f>
        <v>22.2222222222222</v>
      </c>
      <c r="N8" s="5" t="n">
        <f aca="false">G8/(E8/1000)</f>
        <v>100</v>
      </c>
      <c r="O8" s="6" t="s">
        <v>31</v>
      </c>
      <c r="P8" s="6" t="s">
        <v>32</v>
      </c>
    </row>
    <row r="9" customFormat="false" ht="60" hidden="false" customHeight="true" outlineLevel="0" collapsed="false">
      <c r="A9" s="4" t="n">
        <v>5</v>
      </c>
      <c r="B9" s="4" t="s">
        <v>33</v>
      </c>
      <c r="C9" s="4" t="s">
        <v>34</v>
      </c>
      <c r="D9" s="4" t="n">
        <v>7.7</v>
      </c>
      <c r="E9" s="4" t="n">
        <v>7.1</v>
      </c>
      <c r="F9" s="5" t="n">
        <f aca="false">E9/D9</f>
        <v>0.922077922077922</v>
      </c>
      <c r="G9" s="4" t="n">
        <v>2.1</v>
      </c>
      <c r="H9" s="4" t="n">
        <v>29</v>
      </c>
      <c r="I9" s="4" t="n">
        <v>1.4</v>
      </c>
      <c r="J9" s="4" t="n">
        <v>15</v>
      </c>
      <c r="K9" s="5" t="n">
        <f aca="false">E9*I9/100</f>
        <v>0.0994</v>
      </c>
      <c r="L9" s="5" t="n">
        <f aca="false">E9*J9/100</f>
        <v>1.065</v>
      </c>
      <c r="M9" s="5" t="n">
        <f aca="false">1000/E9</f>
        <v>140.845070422535</v>
      </c>
      <c r="N9" s="5" t="n">
        <f aca="false">G9/(E9/1000)</f>
        <v>295.774647887324</v>
      </c>
      <c r="O9" s="6" t="s">
        <v>35</v>
      </c>
      <c r="P9" s="6" t="s">
        <v>25</v>
      </c>
    </row>
    <row r="10" customFormat="false" ht="60" hidden="false" customHeight="true" outlineLevel="0" collapsed="false">
      <c r="A10" s="4" t="n">
        <v>6</v>
      </c>
      <c r="B10" s="4" t="s">
        <v>36</v>
      </c>
      <c r="C10" s="4" t="s">
        <v>37</v>
      </c>
      <c r="D10" s="4" t="n">
        <v>19.6</v>
      </c>
      <c r="E10" s="4" t="n">
        <v>9.8</v>
      </c>
      <c r="F10" s="5" t="n">
        <f aca="false">E10/D10</f>
        <v>0.5</v>
      </c>
      <c r="G10" s="4" t="n">
        <v>4.3</v>
      </c>
      <c r="H10" s="4" t="n">
        <v>78</v>
      </c>
      <c r="I10" s="4" t="n">
        <v>1.1</v>
      </c>
      <c r="J10" s="4" t="n">
        <v>18</v>
      </c>
      <c r="K10" s="5" t="n">
        <f aca="false">E10*I10/100</f>
        <v>0.1078</v>
      </c>
      <c r="L10" s="5" t="n">
        <f aca="false">E10*J10/100</f>
        <v>1.764</v>
      </c>
      <c r="M10" s="5" t="n">
        <f aca="false">1000/E10</f>
        <v>102.040816326531</v>
      </c>
      <c r="N10" s="5" t="n">
        <f aca="false">G10/(E10/1000)</f>
        <v>438.775510204082</v>
      </c>
      <c r="O10" s="6" t="s">
        <v>38</v>
      </c>
      <c r="P10" s="6" t="s">
        <v>25</v>
      </c>
    </row>
    <row r="11" customFormat="false" ht="60" hidden="false" customHeight="true" outlineLevel="0" collapsed="false">
      <c r="A11" s="4" t="n">
        <v>7</v>
      </c>
      <c r="B11" s="4" t="s">
        <v>39</v>
      </c>
      <c r="C11" s="4" t="s">
        <v>40</v>
      </c>
      <c r="D11" s="4" t="n">
        <v>16.3</v>
      </c>
      <c r="E11" s="4" t="n">
        <v>16.3</v>
      </c>
      <c r="F11" s="5" t="n">
        <f aca="false">E11/D11</f>
        <v>1</v>
      </c>
      <c r="G11" s="4" t="n">
        <v>8</v>
      </c>
      <c r="H11" s="4" t="n">
        <v>1</v>
      </c>
      <c r="I11" s="4" t="n">
        <v>65</v>
      </c>
      <c r="J11" s="4" t="n">
        <v>290</v>
      </c>
      <c r="K11" s="5" t="n">
        <f aca="false">E11*I11/100</f>
        <v>10.595</v>
      </c>
      <c r="L11" s="5" t="n">
        <f aca="false">E11*J11/100</f>
        <v>47.27</v>
      </c>
      <c r="M11" s="5" t="n">
        <f aca="false">1000/E11</f>
        <v>61.3496932515337</v>
      </c>
      <c r="N11" s="5" t="n">
        <f aca="false">G11/(E11/1000)</f>
        <v>490.79754601227</v>
      </c>
      <c r="O11" s="6" t="s">
        <v>41</v>
      </c>
      <c r="P11" s="6" t="s">
        <v>42</v>
      </c>
    </row>
    <row r="12" customFormat="false" ht="60" hidden="false" customHeight="true" outlineLevel="0" collapsed="false">
      <c r="A12" s="4" t="n">
        <v>8</v>
      </c>
      <c r="B12" s="4" t="s">
        <v>43</v>
      </c>
      <c r="C12" s="4" t="s">
        <v>44</v>
      </c>
      <c r="D12" s="4" t="n">
        <v>6.7</v>
      </c>
      <c r="E12" s="4" t="n">
        <v>6.7</v>
      </c>
      <c r="F12" s="5" t="n">
        <f aca="false">E12/D12</f>
        <v>1</v>
      </c>
      <c r="G12" s="4" t="n">
        <v>3</v>
      </c>
      <c r="H12" s="4" t="n">
        <v>7</v>
      </c>
      <c r="I12" s="4" t="n">
        <v>30</v>
      </c>
      <c r="J12" s="4" t="n">
        <v>290</v>
      </c>
      <c r="K12" s="5" t="n">
        <f aca="false">E12*I12/100</f>
        <v>2.01</v>
      </c>
      <c r="L12" s="5" t="n">
        <f aca="false">E12*J12/100</f>
        <v>19.43</v>
      </c>
      <c r="M12" s="5" t="n">
        <f aca="false">1000/E12</f>
        <v>149.253731343284</v>
      </c>
      <c r="N12" s="5" t="n">
        <f aca="false">G12/(E12/1000)</f>
        <v>447.761194029851</v>
      </c>
      <c r="O12" s="6" t="s">
        <v>45</v>
      </c>
      <c r="P12" s="6" t="s">
        <v>46</v>
      </c>
    </row>
    <row r="13" customFormat="false" ht="60" hidden="false" customHeight="true" outlineLevel="0" collapsed="false">
      <c r="A13" s="4" t="n">
        <v>9</v>
      </c>
      <c r="B13" s="4" t="s">
        <v>47</v>
      </c>
      <c r="C13" s="4" t="s">
        <v>19</v>
      </c>
      <c r="D13" s="4" t="n">
        <v>22.6</v>
      </c>
      <c r="E13" s="4" t="n">
        <v>11.3</v>
      </c>
      <c r="F13" s="5" t="n">
        <f aca="false">E13/D13</f>
        <v>0.5</v>
      </c>
      <c r="G13" s="4" t="n">
        <v>4.5</v>
      </c>
      <c r="H13" s="4" t="n">
        <v>120</v>
      </c>
      <c r="I13" s="4" t="n">
        <v>7</v>
      </c>
      <c r="J13" s="4" t="n">
        <v>365</v>
      </c>
      <c r="K13" s="5" t="n">
        <f aca="false">E13*I13/100</f>
        <v>0.791</v>
      </c>
      <c r="L13" s="5" t="n">
        <f aca="false">E13*J13/100</f>
        <v>41.245</v>
      </c>
      <c r="M13" s="5" t="n">
        <f aca="false">1000/E13</f>
        <v>88.4955752212389</v>
      </c>
      <c r="N13" s="5" t="n">
        <f aca="false">G13/(E13/1000)</f>
        <v>398.230088495575</v>
      </c>
      <c r="O13" s="6" t="s">
        <v>48</v>
      </c>
      <c r="P13" s="6" t="s">
        <v>49</v>
      </c>
    </row>
    <row r="14" customFormat="false" ht="60" hidden="false" customHeight="true" outlineLevel="0" collapsed="false">
      <c r="A14" s="4" t="n">
        <v>10</v>
      </c>
      <c r="B14" s="4" t="s">
        <v>50</v>
      </c>
      <c r="C14" s="4" t="s">
        <v>51</v>
      </c>
      <c r="D14" s="4" t="n">
        <v>15</v>
      </c>
      <c r="E14" s="4" t="n">
        <v>2.6</v>
      </c>
      <c r="F14" s="5" t="n">
        <f aca="false">E14/D14</f>
        <v>0.173333333333333</v>
      </c>
      <c r="G14" s="4" t="n">
        <v>4</v>
      </c>
      <c r="H14" s="4" t="n">
        <v>135</v>
      </c>
      <c r="I14" s="4" t="n">
        <v>25</v>
      </c>
      <c r="J14" s="4" t="n">
        <v>567</v>
      </c>
      <c r="K14" s="5" t="n">
        <f aca="false">E14*I14/100</f>
        <v>0.65</v>
      </c>
      <c r="L14" s="5" t="n">
        <f aca="false">E14*J14/100</f>
        <v>14.742</v>
      </c>
      <c r="M14" s="5" t="n">
        <f aca="false">1000/E14</f>
        <v>384.615384615385</v>
      </c>
      <c r="N14" s="5" t="n">
        <f aca="false">G14/(E14/1000)</f>
        <v>1538.46153846154</v>
      </c>
      <c r="O14" s="6" t="s">
        <v>52</v>
      </c>
      <c r="P14" s="6" t="s">
        <v>53</v>
      </c>
    </row>
    <row r="15" customFormat="false" ht="60" hidden="false" customHeight="true" outlineLevel="0" collapsed="false">
      <c r="A15" s="4" t="n">
        <v>11</v>
      </c>
      <c r="B15" s="4" t="s">
        <v>54</v>
      </c>
      <c r="C15" s="4" t="s">
        <v>55</v>
      </c>
      <c r="D15" s="4" t="n">
        <v>5.5</v>
      </c>
      <c r="E15" s="4" t="n">
        <v>2</v>
      </c>
      <c r="F15" s="5" t="n">
        <f aca="false">E15/D15</f>
        <v>0.363636363636364</v>
      </c>
      <c r="G15" s="4" t="n">
        <v>3.5</v>
      </c>
      <c r="H15" s="4" t="n">
        <v>100</v>
      </c>
      <c r="I15" s="4" t="n">
        <v>20.9</v>
      </c>
      <c r="J15" s="4" t="n">
        <v>368</v>
      </c>
      <c r="K15" s="5" t="n">
        <f aca="false">E15*I15/100</f>
        <v>0.418</v>
      </c>
      <c r="L15" s="5" t="n">
        <f aca="false">E15*J15/100</f>
        <v>7.36</v>
      </c>
      <c r="M15" s="5" t="n">
        <f aca="false">1000/E15</f>
        <v>500</v>
      </c>
      <c r="N15" s="5" t="n">
        <f aca="false">G15/(E15/1000)</f>
        <v>1750</v>
      </c>
      <c r="O15" s="6" t="s">
        <v>56</v>
      </c>
      <c r="P15" s="6" t="s">
        <v>57</v>
      </c>
    </row>
    <row r="16" customFormat="false" ht="60" hidden="false" customHeight="true" outlineLevel="0" collapsed="false">
      <c r="A16" s="4" t="n">
        <v>12</v>
      </c>
      <c r="B16" s="4" t="s">
        <v>58</v>
      </c>
      <c r="C16" s="4" t="s">
        <v>40</v>
      </c>
      <c r="D16" s="4" t="n">
        <v>18</v>
      </c>
      <c r="E16" s="4" t="n">
        <v>18</v>
      </c>
      <c r="F16" s="5" t="n">
        <f aca="false">E16/D16</f>
        <v>1</v>
      </c>
      <c r="G16" s="4" t="n">
        <v>8</v>
      </c>
      <c r="H16" s="4" t="n">
        <v>7</v>
      </c>
      <c r="I16" s="4" t="n">
        <v>51</v>
      </c>
      <c r="J16" s="4" t="n">
        <v>380</v>
      </c>
      <c r="K16" s="5" t="n">
        <f aca="false">E16*I16/100</f>
        <v>9.18</v>
      </c>
      <c r="L16" s="5" t="n">
        <f aca="false">E16*J16/100</f>
        <v>68.4</v>
      </c>
      <c r="M16" s="5" t="n">
        <f aca="false">1000/E16</f>
        <v>55.5555555555556</v>
      </c>
      <c r="N16" s="5" t="n">
        <f aca="false">G16/(E16/1000)</f>
        <v>444.444444444444</v>
      </c>
      <c r="O16" s="6" t="s">
        <v>59</v>
      </c>
      <c r="P16" s="6" t="s">
        <v>60</v>
      </c>
    </row>
    <row r="17" customFormat="false" ht="60" hidden="false" customHeight="true" outlineLevel="0" collapsed="false">
      <c r="A17" s="4" t="n">
        <v>13</v>
      </c>
      <c r="B17" s="4" t="s">
        <v>61</v>
      </c>
      <c r="C17" s="4" t="s">
        <v>62</v>
      </c>
      <c r="D17" s="4" t="n">
        <v>15.6</v>
      </c>
      <c r="E17" s="4" t="n">
        <v>9.4</v>
      </c>
      <c r="F17" s="5" t="n">
        <f aca="false">E17/D17</f>
        <v>0.602564102564103</v>
      </c>
      <c r="G17" s="4" t="n">
        <v>3</v>
      </c>
      <c r="H17" s="4" t="n">
        <v>40</v>
      </c>
      <c r="I17" s="4" t="n">
        <v>22</v>
      </c>
      <c r="J17" s="4" t="n">
        <v>205</v>
      </c>
      <c r="K17" s="5" t="n">
        <f aca="false">E17*I17/100</f>
        <v>2.068</v>
      </c>
      <c r="L17" s="5" t="n">
        <f aca="false">E17*J17/100</f>
        <v>19.27</v>
      </c>
      <c r="M17" s="5" t="n">
        <f aca="false">1000/E17</f>
        <v>106.382978723404</v>
      </c>
      <c r="N17" s="5" t="n">
        <f aca="false">G17/(E17/1000)</f>
        <v>319.148936170213</v>
      </c>
      <c r="O17" s="6" t="s">
        <v>63</v>
      </c>
      <c r="P17" s="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46"/>
    <col collapsed="false" customWidth="true" hidden="false" outlineLevel="0" max="12" min="12" style="0" width="42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46.25" hidden="false" customHeight="false" outlineLevel="0" collapsed="false">
      <c r="A4" s="3" t="s">
        <v>2</v>
      </c>
      <c r="B4" s="3" t="s">
        <v>3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9</v>
      </c>
      <c r="I4" s="3" t="s">
        <v>72</v>
      </c>
      <c r="J4" s="3" t="s">
        <v>73</v>
      </c>
      <c r="K4" s="3" t="s">
        <v>16</v>
      </c>
      <c r="L4" s="3" t="s">
        <v>17</v>
      </c>
    </row>
    <row r="5" customFormat="false" ht="69.75" hidden="false" customHeight="true" outlineLevel="0" collapsed="false">
      <c r="A5" s="4" t="n">
        <v>9</v>
      </c>
      <c r="B5" s="4" t="s">
        <v>74</v>
      </c>
      <c r="C5" s="4" t="s">
        <v>75</v>
      </c>
      <c r="D5" s="4" t="n">
        <v>65</v>
      </c>
      <c r="E5" s="4" t="n">
        <v>2000</v>
      </c>
      <c r="F5" s="4" t="n">
        <v>2.5</v>
      </c>
      <c r="G5" s="4"/>
      <c r="H5" s="4" t="n">
        <v>50</v>
      </c>
      <c r="I5" s="4" t="n">
        <v>1.7</v>
      </c>
      <c r="J5" s="5" t="n">
        <f aca="false">1000*D5/100</f>
        <v>650</v>
      </c>
      <c r="K5" s="6" t="s">
        <v>76</v>
      </c>
      <c r="L5" s="6" t="s">
        <v>77</v>
      </c>
    </row>
    <row r="6" customFormat="false" ht="69.75" hidden="false" customHeight="true" outlineLevel="0" collapsed="false">
      <c r="A6" s="4" t="n">
        <v>10</v>
      </c>
      <c r="B6" s="4" t="s">
        <v>78</v>
      </c>
      <c r="C6" s="4" t="s">
        <v>75</v>
      </c>
      <c r="D6" s="4" t="n">
        <v>50</v>
      </c>
      <c r="E6" s="4" t="n">
        <v>1260</v>
      </c>
      <c r="F6" s="4" t="n">
        <v>2.5</v>
      </c>
      <c r="G6" s="4"/>
      <c r="H6" s="4" t="n">
        <v>60</v>
      </c>
      <c r="I6" s="4" t="n">
        <v>2</v>
      </c>
      <c r="J6" s="5" t="n">
        <f aca="false">1000*D6/100</f>
        <v>500</v>
      </c>
      <c r="K6" s="6" t="s">
        <v>79</v>
      </c>
      <c r="L6" s="6" t="s">
        <v>80</v>
      </c>
    </row>
    <row r="7" customFormat="false" ht="69.75" hidden="false" customHeight="true" outlineLevel="0" collapsed="false">
      <c r="A7" s="4" t="n">
        <v>11</v>
      </c>
      <c r="B7" s="4" t="s">
        <v>81</v>
      </c>
      <c r="C7" s="4" t="s">
        <v>82</v>
      </c>
      <c r="D7" s="4" t="n">
        <v>45</v>
      </c>
      <c r="E7" s="4" t="n">
        <v>2000</v>
      </c>
      <c r="F7" s="4" t="n">
        <v>1.14</v>
      </c>
      <c r="G7" s="4"/>
      <c r="H7" s="4" t="n">
        <v>2</v>
      </c>
      <c r="I7" s="4" t="n">
        <v>2</v>
      </c>
      <c r="J7" s="5" t="n">
        <f aca="false">1000*D7/100</f>
        <v>450</v>
      </c>
      <c r="K7" s="6" t="s">
        <v>83</v>
      </c>
      <c r="L7" s="6" t="s">
        <v>84</v>
      </c>
    </row>
    <row r="8" customFormat="false" ht="69.75" hidden="false" customHeight="true" outlineLevel="0" collapsed="false">
      <c r="A8" s="4" t="n">
        <v>12</v>
      </c>
      <c r="B8" s="4" t="s">
        <v>85</v>
      </c>
      <c r="C8" s="4" t="s">
        <v>86</v>
      </c>
      <c r="D8" s="4" t="n">
        <v>3</v>
      </c>
      <c r="E8" s="4"/>
      <c r="F8" s="4"/>
      <c r="G8" s="4"/>
      <c r="H8" s="4" t="n">
        <v>18</v>
      </c>
      <c r="I8" s="4" t="n">
        <v>0</v>
      </c>
      <c r="J8" s="5" t="n">
        <f aca="false">1000*D8/100</f>
        <v>30</v>
      </c>
      <c r="K8" s="6" t="s">
        <v>87</v>
      </c>
      <c r="L8" s="6" t="s">
        <v>88</v>
      </c>
    </row>
    <row r="9" customFormat="false" ht="69.75" hidden="false" customHeight="true" outlineLevel="0" collapsed="false">
      <c r="A9" s="4" t="n">
        <v>13</v>
      </c>
      <c r="B9" s="4" t="s">
        <v>89</v>
      </c>
      <c r="C9" s="4" t="s">
        <v>90</v>
      </c>
      <c r="D9" s="4" t="n">
        <v>20</v>
      </c>
      <c r="E9" s="4" t="n">
        <v>444</v>
      </c>
      <c r="F9" s="4"/>
      <c r="G9" s="4" t="n">
        <v>29.5</v>
      </c>
      <c r="H9" s="4" t="n">
        <v>21</v>
      </c>
      <c r="I9" s="4" t="n">
        <v>1</v>
      </c>
      <c r="J9" s="5" t="n">
        <f aca="false">1000*D9/100</f>
        <v>200</v>
      </c>
      <c r="K9" s="6" t="s">
        <v>91</v>
      </c>
      <c r="L9" s="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true" outlineLevel="0" collapsed="false">
      <c r="A2" s="7"/>
    </row>
    <row r="3" customFormat="false" ht="45" hidden="false" customHeight="true" outlineLevel="0" collapsed="false">
      <c r="A3" s="7" t="s">
        <v>94</v>
      </c>
    </row>
    <row r="4" customFormat="false" ht="15" hidden="false" customHeight="true" outlineLevel="0" collapsed="false">
      <c r="A4" s="7"/>
    </row>
    <row r="5" customFormat="false" ht="45" hidden="false" customHeight="true" outlineLevel="0" collapsed="false">
      <c r="A5" s="7" t="s">
        <v>95</v>
      </c>
    </row>
    <row r="6" customFormat="false" ht="15" hidden="false" customHeight="true" outlineLevel="0" collapsed="false">
      <c r="A6" s="7"/>
    </row>
    <row r="7" customFormat="false" ht="45" hidden="false" customHeight="true" outlineLevel="0" collapsed="false">
      <c r="A7" s="7" t="s">
        <v>96</v>
      </c>
    </row>
    <row r="8" customFormat="false" ht="15" hidden="false" customHeight="true" outlineLevel="0" collapsed="false">
      <c r="A8" s="7"/>
    </row>
    <row r="9" customFormat="false" ht="45" hidden="false" customHeight="true" outlineLevel="0" collapsed="false">
      <c r="A9" s="7" t="s">
        <v>97</v>
      </c>
    </row>
    <row r="10" customFormat="false" ht="15" hidden="false" customHeight="true" outlineLevel="0" collapsed="false">
      <c r="A10" s="7"/>
    </row>
    <row r="11" customFormat="false" ht="45" hidden="false" customHeight="true" outlineLevel="0" collapsed="false">
      <c r="A11" s="7" t="s">
        <v>98</v>
      </c>
    </row>
    <row r="12" customFormat="false" ht="15" hidden="false" customHeight="true" outlineLevel="0" collapsed="false">
      <c r="A12" s="7"/>
    </row>
    <row r="13" customFormat="false" ht="45" hidden="false" customHeight="true" outlineLevel="0" collapsed="false">
      <c r="A13" s="7" t="s">
        <v>99</v>
      </c>
    </row>
    <row r="14" customFormat="false" ht="15" hidden="false" customHeight="true" outlineLevel="0" collapsed="false">
      <c r="A14" s="7"/>
    </row>
    <row r="15" customFormat="false" ht="45" hidden="false" customHeight="true" outlineLevel="0" collapsed="false">
      <c r="A15" s="7" t="s">
        <v>100</v>
      </c>
    </row>
    <row r="16" customFormat="false" ht="15" hidden="false" customHeight="true" outlineLevel="0" collapsed="false">
      <c r="A16" s="7"/>
    </row>
    <row r="17" customFormat="false" ht="45" hidden="false" customHeight="true" outlineLevel="0" collapsed="false">
      <c r="A17" s="7" t="s">
        <v>101</v>
      </c>
    </row>
    <row r="19" customFormat="false" ht="17.35" hidden="false" customHeight="false" outlineLevel="0" collapsed="false">
      <c r="A19" s="1" t="s">
        <v>102</v>
      </c>
    </row>
    <row r="21" customFormat="false" ht="27.75" hidden="false" customHeight="true" outlineLevel="0" collapsed="false">
      <c r="A21" s="8" t="s">
        <v>103</v>
      </c>
    </row>
    <row r="22" customFormat="false" ht="27.75" hidden="false" customHeight="true" outlineLevel="0" collapsed="false">
      <c r="A22" s="8" t="s">
        <v>104</v>
      </c>
    </row>
    <row r="23" customFormat="false" ht="27.75" hidden="false" customHeight="true" outlineLevel="0" collapsed="false">
      <c r="A23" s="8" t="s">
        <v>105</v>
      </c>
    </row>
    <row r="24" customFormat="false" ht="27.75" hidden="false" customHeight="true" outlineLevel="0" collapsed="false">
      <c r="A24" s="8" t="s">
        <v>106</v>
      </c>
    </row>
    <row r="25" customFormat="false" ht="27.75" hidden="false" customHeight="true" outlineLevel="0" collapsed="false">
      <c r="A25" s="8" t="s">
        <v>107</v>
      </c>
    </row>
    <row r="26" customFormat="false" ht="27.75" hidden="false" customHeight="true" outlineLevel="0" collapsed="false">
      <c r="A26" s="8" t="s">
        <v>108</v>
      </c>
    </row>
    <row r="27" customFormat="false" ht="27.75" hidden="false" customHeight="true" outlineLevel="0" collapsed="false">
      <c r="A27" s="8" t="s">
        <v>109</v>
      </c>
    </row>
    <row r="28" customFormat="false" ht="27.75" hidden="false" customHeight="true" outlineLevel="0" collapsed="false">
      <c r="A28" s="8" t="s">
        <v>110</v>
      </c>
    </row>
    <row r="29" customFormat="false" ht="27.75" hidden="false" customHeight="true" outlineLevel="0" collapsed="false">
      <c r="A29" s="8" t="s">
        <v>111</v>
      </c>
    </row>
    <row r="30" customFormat="false" ht="27.75" hidden="false" customHeight="true" outlineLevel="0" collapsed="false">
      <c r="A30" s="8" t="s">
        <v>112</v>
      </c>
    </row>
    <row r="31" customFormat="false" ht="27.75" hidden="false" customHeight="true" outlineLevel="0" collapsed="false">
      <c r="A31" s="8" t="s">
        <v>113</v>
      </c>
    </row>
    <row r="32" customFormat="false" ht="27.75" hidden="false" customHeight="true" outlineLevel="0" collapsed="false">
      <c r="A32" s="8" t="s">
        <v>114</v>
      </c>
    </row>
    <row r="33" customFormat="false" ht="27.75" hidden="false" customHeight="true" outlineLevel="0" collapsed="false">
      <c r="A33" s="8" t="s">
        <v>115</v>
      </c>
    </row>
    <row r="34" customFormat="false" ht="27.75" hidden="false" customHeight="true" outlineLevel="0" collapsed="false">
      <c r="A34" s="8" t="s">
        <v>116</v>
      </c>
    </row>
    <row r="35" customFormat="false" ht="27.75" hidden="false" customHeight="true" outlineLevel="0" collapsed="false">
      <c r="A35" s="8" t="s">
        <v>117</v>
      </c>
    </row>
    <row r="36" customFormat="false" ht="27.75" hidden="false" customHeight="true" outlineLevel="0" collapsed="false">
      <c r="A36" s="8" t="s">
        <v>118</v>
      </c>
    </row>
    <row r="37" customFormat="false" ht="27.75" hidden="false" customHeight="true" outlineLevel="0" collapsed="false">
      <c r="A37" s="8" t="s">
        <v>119</v>
      </c>
    </row>
    <row r="38" customFormat="false" ht="27.75" hidden="false" customHeight="true" outlineLevel="0" collapsed="false">
      <c r="A38" s="8" t="s">
        <v>120</v>
      </c>
    </row>
    <row r="39" customFormat="false" ht="27.75" hidden="false" customHeight="true" outlineLevel="0" collapsed="false">
      <c r="A39" s="8" t="s">
        <v>121</v>
      </c>
    </row>
    <row r="40" customFormat="false" ht="27.75" hidden="false" customHeight="true" outlineLevel="0" collapsed="false">
      <c r="A40" s="8" t="s">
        <v>122</v>
      </c>
    </row>
    <row r="41" customFormat="false" ht="27.75" hidden="false" customHeight="true" outlineLevel="0" collapsed="false">
      <c r="A41" s="8" t="s">
        <v>123</v>
      </c>
    </row>
    <row r="42" customFormat="false" ht="27.75" hidden="false" customHeight="true" outlineLevel="0" collapsed="false">
      <c r="A42" s="8" t="s">
        <v>124</v>
      </c>
    </row>
    <row r="43" customFormat="false" ht="27.75" hidden="false" customHeight="true" outlineLevel="0" collapsed="false">
      <c r="A43" s="8" t="s">
        <v>125</v>
      </c>
    </row>
    <row r="44" customFormat="false" ht="27.75" hidden="false" customHeight="true" outlineLevel="0" collapsed="false">
      <c r="A44" s="8" t="s">
        <v>126</v>
      </c>
    </row>
    <row r="45" customFormat="false" ht="27.75" hidden="false" customHeight="true" outlineLevel="0" collapsed="false">
      <c r="A45" s="8" t="s">
        <v>127</v>
      </c>
    </row>
    <row r="46" customFormat="false" ht="27.75" hidden="false" customHeight="true" outlineLevel="0" collapsed="false">
      <c r="A46" s="8" t="s">
        <v>128</v>
      </c>
    </row>
    <row r="47" customFormat="false" ht="27.75" hidden="false" customHeight="true" outlineLevel="0" collapsed="false">
      <c r="A47" s="8" t="s">
        <v>129</v>
      </c>
    </row>
    <row r="48" customFormat="false" ht="27.75" hidden="false" customHeight="true" outlineLevel="0" collapsed="false">
      <c r="A48" s="8" t="s">
        <v>130</v>
      </c>
    </row>
    <row r="49" customFormat="false" ht="27.75" hidden="false" customHeight="true" outlineLevel="0" collapsed="false">
      <c r="A49" s="8" t="s">
        <v>131</v>
      </c>
    </row>
    <row r="50" customFormat="false" ht="27.75" hidden="false" customHeight="true" outlineLevel="0" collapsed="false">
      <c r="A50" s="8" t="s">
        <v>132</v>
      </c>
    </row>
    <row r="51" customFormat="false" ht="27.75" hidden="false" customHeight="true" outlineLevel="0" collapsed="false">
      <c r="A51" s="8" t="s">
        <v>133</v>
      </c>
    </row>
    <row r="52" customFormat="false" ht="27.75" hidden="false" customHeight="true" outlineLevel="0" collapsed="false">
      <c r="A52" s="8" t="s">
        <v>134</v>
      </c>
    </row>
    <row r="53" customFormat="false" ht="27.75" hidden="false" customHeight="true" outlineLevel="0" collapsed="false">
      <c r="A53" s="8" t="s">
        <v>135</v>
      </c>
    </row>
    <row r="54" customFormat="false" ht="27.75" hidden="false" customHeight="true" outlineLevel="0" collapsed="false">
      <c r="A54" s="8" t="s">
        <v>136</v>
      </c>
    </row>
    <row r="55" customFormat="false" ht="27.75" hidden="false" customHeight="true" outlineLevel="0" collapsed="false">
      <c r="A55" s="8" t="s">
        <v>137</v>
      </c>
    </row>
    <row r="56" customFormat="false" ht="27.75" hidden="false" customHeight="true" outlineLevel="0" collapsed="false">
      <c r="A56" s="8" t="s">
        <v>138</v>
      </c>
    </row>
    <row r="57" customFormat="false" ht="27.75" hidden="false" customHeight="true" outlineLevel="0" collapsed="false">
      <c r="A57" s="8" t="s">
        <v>139</v>
      </c>
    </row>
    <row r="58" customFormat="false" ht="27.75" hidden="false" customHeight="true" outlineLevel="0" collapsed="false">
      <c r="A58" s="8" t="s">
        <v>140</v>
      </c>
    </row>
    <row r="59" customFormat="false" ht="27.75" hidden="false" customHeight="true" outlineLevel="0" collapsed="false">
      <c r="A59" s="8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2026-08-08T19:00:17Z</dcterms:created>
  <dc:creator>openpyxl</dc:creator>
  <dc:description/>
  <dc:language>en-US</dc:language>
  <cp:lastModifiedBy/>
  <dcterms:modified xsi:type="dcterms:W3CDTF">2026-08-08T19:00:17Z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